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a-my.sharepoint.com/personal/fhaq131_uoa_auckland_ac_nz/Documents/Post Graduate/Code/Geo_AI/data/geochem/"/>
    </mc:Choice>
  </mc:AlternateContent>
  <xr:revisionPtr revIDLastSave="0" documentId="8_{AEB82694-762C-457C-8085-B7845973B460}" xr6:coauthVersionLast="47" xr6:coauthVersionMax="47" xr10:uidLastSave="{00000000-0000-0000-0000-000000000000}"/>
  <bookViews>
    <workbookView xWindow="2070" yWindow="2385" windowWidth="21600" windowHeight="11295" xr2:uid="{00000000-000D-0000-FFFF-FFFF00000000}"/>
  </bookViews>
  <sheets>
    <sheet name="Semuru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2" l="1"/>
  <c r="C10" i="2"/>
  <c r="C11" i="2"/>
  <c r="D11" i="2"/>
  <c r="D10" i="2"/>
  <c r="B10" i="2"/>
  <c r="D9" i="2"/>
  <c r="C9" i="2"/>
  <c r="C4" i="2"/>
  <c r="D4" i="2" s="1"/>
  <c r="C3" i="2"/>
  <c r="D3" i="2" s="1"/>
  <c r="B3" i="2"/>
  <c r="C2" i="2"/>
  <c r="B2" i="2"/>
  <c r="D2" i="2" s="1"/>
  <c r="D7" i="2" s="1"/>
</calcChain>
</file>

<file path=xl/sharedStrings.xml><?xml version="1.0" encoding="utf-8"?>
<sst xmlns="http://schemas.openxmlformats.org/spreadsheetml/2006/main" count="342" uniqueCount="107">
  <si>
    <t>ID</t>
  </si>
  <si>
    <t>SM</t>
  </si>
  <si>
    <t>ST1</t>
  </si>
  <si>
    <t>ST2</t>
  </si>
  <si>
    <t>Kode</t>
  </si>
  <si>
    <t>Location</t>
  </si>
  <si>
    <t>Mukai Pintu</t>
  </si>
  <si>
    <t>Sungai Tutung</t>
  </si>
  <si>
    <t>latitutde</t>
  </si>
  <si>
    <t>longitude</t>
  </si>
  <si>
    <t>elevation</t>
  </si>
  <si>
    <t>PH</t>
  </si>
  <si>
    <t>Temp</t>
  </si>
  <si>
    <t>T ambience</t>
  </si>
  <si>
    <t>TDS</t>
  </si>
  <si>
    <t>EC</t>
  </si>
  <si>
    <t>Kation</t>
  </si>
  <si>
    <t>Anion</t>
  </si>
  <si>
    <t>Isotop</t>
  </si>
  <si>
    <t>oC</t>
  </si>
  <si>
    <t>ppm</t>
  </si>
  <si>
    <t>micro S</t>
  </si>
  <si>
    <t>Heatloss</t>
  </si>
  <si>
    <t>Jenis</t>
  </si>
  <si>
    <t>FA</t>
  </si>
  <si>
    <t>DB-2/1</t>
  </si>
  <si>
    <t>FA dan RA</t>
  </si>
  <si>
    <t>FU</t>
  </si>
  <si>
    <t>FU dan RU</t>
  </si>
  <si>
    <t>Dusun Baru</t>
  </si>
  <si>
    <t>Yes</t>
  </si>
  <si>
    <t>7-8</t>
  </si>
  <si>
    <t>MP</t>
  </si>
  <si>
    <t>Sungai Medang</t>
  </si>
  <si>
    <t>DB-3</t>
  </si>
  <si>
    <t>DB-2/3</t>
  </si>
  <si>
    <t>DB-1</t>
  </si>
  <si>
    <t>DB-4</t>
  </si>
  <si>
    <t>Water</t>
  </si>
  <si>
    <t>Gas</t>
  </si>
  <si>
    <t>NCG</t>
  </si>
  <si>
    <t>RU</t>
  </si>
  <si>
    <t>RA</t>
  </si>
  <si>
    <t>No</t>
  </si>
  <si>
    <t>7.49</t>
  </si>
  <si>
    <t>82.9</t>
  </si>
  <si>
    <t>23.5</t>
  </si>
  <si>
    <t>N/A</t>
  </si>
  <si>
    <t>6.65</t>
  </si>
  <si>
    <t>27.8</t>
  </si>
  <si>
    <t>7.27</t>
  </si>
  <si>
    <t>76.5</t>
  </si>
  <si>
    <t>29.8</t>
  </si>
  <si>
    <t>-</t>
  </si>
  <si>
    <t>DB-2/2</t>
  </si>
  <si>
    <t>SA</t>
  </si>
  <si>
    <t>PM</t>
  </si>
  <si>
    <t>LL</t>
  </si>
  <si>
    <t>Sungai Abu</t>
  </si>
  <si>
    <t xml:space="preserve">Pungut Mudik </t>
  </si>
  <si>
    <t xml:space="preserve">Lubuk Larangan </t>
  </si>
  <si>
    <t>7.73</t>
  </si>
  <si>
    <t>78.6</t>
  </si>
  <si>
    <t>22.2</t>
  </si>
  <si>
    <t>55.2</t>
  </si>
  <si>
    <t>7.7</t>
  </si>
  <si>
    <t>25.8</t>
  </si>
  <si>
    <t>7.19</t>
  </si>
  <si>
    <t>DB-5</t>
  </si>
  <si>
    <t>SUM1-SEM</t>
  </si>
  <si>
    <t>MAD-SM1</t>
  </si>
  <si>
    <t>MAD-SM2</t>
  </si>
  <si>
    <t>MAD-SM3</t>
  </si>
  <si>
    <t>SUN-SM1</t>
  </si>
  <si>
    <t>6.75</t>
  </si>
  <si>
    <t>21.7</t>
  </si>
  <si>
    <t>6.60</t>
  </si>
  <si>
    <t>25.7</t>
  </si>
  <si>
    <t>23.9</t>
  </si>
  <si>
    <t>6.6</t>
  </si>
  <si>
    <t>24.8</t>
  </si>
  <si>
    <t>6.7</t>
  </si>
  <si>
    <t>24.9</t>
  </si>
  <si>
    <t>21.4</t>
  </si>
  <si>
    <t>5.65</t>
  </si>
  <si>
    <t>24.6</t>
  </si>
  <si>
    <t>21.6</t>
  </si>
  <si>
    <t>8.28</t>
  </si>
  <si>
    <t>23.8</t>
  </si>
  <si>
    <t>SCS 5.22</t>
  </si>
  <si>
    <t>Pabrik Tahu</t>
  </si>
  <si>
    <t>Yayasan Dusun Baru</t>
  </si>
  <si>
    <t xml:space="preserve">Blui Tinggi </t>
  </si>
  <si>
    <t>Date</t>
  </si>
  <si>
    <t>physicochemistry</t>
  </si>
  <si>
    <t>V</t>
  </si>
  <si>
    <t>Area</t>
  </si>
  <si>
    <t>Debit</t>
  </si>
  <si>
    <t>SM1</t>
  </si>
  <si>
    <t>m3/s</t>
  </si>
  <si>
    <t>SM2</t>
  </si>
  <si>
    <t>SM3</t>
  </si>
  <si>
    <t>asumsi sama</t>
  </si>
  <si>
    <t>Total debit SM</t>
  </si>
  <si>
    <t>ST2 gabungan</t>
  </si>
  <si>
    <t>ST2 dingin</t>
  </si>
  <si>
    <t>ST2 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</si>
</sst>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0" xfId="0" applyNumberFormat="1" applyBorder="1"/>
    <xf numFmtId="3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4" fontId="0" fillId="0" borderId="10" xfId="0" applyNumberFormat="1" applyBorder="1"/>
    <xf numFmtId="0" fontId="0" fillId="34" borderId="10" xfId="0" applyFill="1" applyBorder="1"/>
    <xf numFmtId="0" fontId="16" fillId="33" borderId="0" xfId="0" applyFont="1" applyFill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6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3.5703125" bestFit="1" customWidth="1"/>
    <col min="2" max="2" width="12.28515625" customWidth="1"/>
    <col min="3" max="3" width="8.140625" customWidth="1"/>
    <col min="4" max="4" width="8.7109375" customWidth="1"/>
    <col min="5" max="5" width="8.5703125" customWidth="1"/>
    <col min="6" max="6" width="15.42578125" customWidth="1"/>
    <col min="7" max="7" width="12.140625" style="5" bestFit="1" customWidth="1"/>
    <col min="8" max="9" width="8.7109375" customWidth="1"/>
    <col min="10" max="10" width="10.42578125" customWidth="1"/>
    <col min="11" max="12" width="8.7109375" customWidth="1"/>
    <col min="13" max="13" width="6.140625" bestFit="1" customWidth="1"/>
    <col min="14" max="14" width="9.42578125" bestFit="1" customWidth="1"/>
    <col min="15" max="15" width="5.7109375" bestFit="1" customWidth="1"/>
    <col min="17" max="17" width="6.140625" bestFit="1" customWidth="1"/>
    <col min="18" max="18" width="4.85546875" bestFit="1" customWidth="1"/>
    <col min="19" max="19" width="4.85546875" customWidth="1"/>
    <col min="20" max="20" width="6.140625" bestFit="1" customWidth="1"/>
    <col min="21" max="21" width="9.42578125" bestFit="1" customWidth="1"/>
    <col min="22" max="22" width="5.7109375" bestFit="1" customWidth="1"/>
    <col min="24" max="24" width="6.140625" bestFit="1" customWidth="1"/>
    <col min="25" max="25" width="4.85546875" bestFit="1" customWidth="1"/>
    <col min="26" max="26" width="7.85546875" bestFit="1" customWidth="1"/>
  </cols>
  <sheetData>
    <row r="1" spans="1:26" x14ac:dyDescent="0.25">
      <c r="A1" s="12" t="s">
        <v>0</v>
      </c>
      <c r="B1" s="12" t="s">
        <v>93</v>
      </c>
      <c r="C1" s="12" t="s">
        <v>8</v>
      </c>
      <c r="D1" s="12" t="s">
        <v>9</v>
      </c>
      <c r="E1" s="12" t="s">
        <v>10</v>
      </c>
      <c r="F1" s="12" t="s">
        <v>5</v>
      </c>
      <c r="G1" s="12" t="s">
        <v>4</v>
      </c>
      <c r="H1" s="17" t="s">
        <v>94</v>
      </c>
      <c r="I1" s="17"/>
      <c r="J1" s="17"/>
      <c r="K1" s="17"/>
      <c r="L1" s="17"/>
      <c r="M1" s="15" t="s">
        <v>38</v>
      </c>
      <c r="N1" s="15"/>
      <c r="O1" s="15"/>
      <c r="P1" s="15"/>
      <c r="Q1" s="15"/>
      <c r="R1" s="15"/>
      <c r="S1" s="16" t="s">
        <v>39</v>
      </c>
      <c r="T1" s="16"/>
      <c r="U1" s="16"/>
      <c r="V1" s="16"/>
      <c r="W1" s="16"/>
      <c r="X1" s="16"/>
      <c r="Y1" s="16"/>
      <c r="Z1" s="12" t="s">
        <v>22</v>
      </c>
    </row>
    <row r="2" spans="1:26" x14ac:dyDescent="0.25">
      <c r="A2" s="12"/>
      <c r="B2" s="12"/>
      <c r="C2" s="12"/>
      <c r="D2" s="12"/>
      <c r="E2" s="12"/>
      <c r="F2" s="12"/>
      <c r="G2" s="12"/>
      <c r="H2" s="14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14" t="s">
        <v>16</v>
      </c>
      <c r="N2" s="14" t="s">
        <v>23</v>
      </c>
      <c r="O2" s="14" t="s">
        <v>17</v>
      </c>
      <c r="P2" s="14" t="s">
        <v>23</v>
      </c>
      <c r="Q2" s="14" t="s">
        <v>18</v>
      </c>
      <c r="R2" s="14" t="s">
        <v>23</v>
      </c>
      <c r="S2" s="14" t="s">
        <v>40</v>
      </c>
      <c r="T2" s="14" t="s">
        <v>16</v>
      </c>
      <c r="U2" s="14" t="s">
        <v>23</v>
      </c>
      <c r="V2" s="14" t="s">
        <v>17</v>
      </c>
      <c r="W2" s="14" t="s">
        <v>23</v>
      </c>
      <c r="X2" s="14" t="s">
        <v>18</v>
      </c>
      <c r="Y2" s="14" t="s">
        <v>23</v>
      </c>
      <c r="Z2" s="12"/>
    </row>
    <row r="3" spans="1:26" x14ac:dyDescent="0.25">
      <c r="A3" s="13"/>
      <c r="B3" s="13"/>
      <c r="C3" s="13"/>
      <c r="D3" s="13"/>
      <c r="E3" s="13"/>
      <c r="F3" s="13"/>
      <c r="G3" s="13"/>
      <c r="H3" s="14"/>
      <c r="I3" s="8" t="s">
        <v>19</v>
      </c>
      <c r="J3" s="8" t="s">
        <v>19</v>
      </c>
      <c r="K3" s="8" t="s">
        <v>20</v>
      </c>
      <c r="L3" s="8" t="s">
        <v>21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3"/>
    </row>
    <row r="4" spans="1:26" x14ac:dyDescent="0.25">
      <c r="A4" s="1">
        <v>1</v>
      </c>
      <c r="B4" s="10">
        <v>44773</v>
      </c>
      <c r="C4" s="1">
        <v>762639</v>
      </c>
      <c r="D4" s="1">
        <v>9783989</v>
      </c>
      <c r="E4" s="2">
        <v>873</v>
      </c>
      <c r="F4" s="1" t="s">
        <v>6</v>
      </c>
      <c r="G4" s="3" t="s">
        <v>32</v>
      </c>
      <c r="H4" s="3">
        <v>7.42</v>
      </c>
      <c r="I4" s="3">
        <v>39</v>
      </c>
      <c r="J4" s="3">
        <v>23.5</v>
      </c>
      <c r="K4" s="3">
        <v>242</v>
      </c>
      <c r="L4" s="3">
        <v>484</v>
      </c>
      <c r="M4" s="3">
        <v>2</v>
      </c>
      <c r="N4" s="3" t="s">
        <v>27</v>
      </c>
      <c r="O4" s="3">
        <v>2</v>
      </c>
      <c r="P4" s="3" t="s">
        <v>24</v>
      </c>
      <c r="Q4" s="3">
        <v>1</v>
      </c>
      <c r="R4" s="3" t="s">
        <v>27</v>
      </c>
      <c r="S4" s="4" t="s">
        <v>53</v>
      </c>
      <c r="T4" s="4" t="s">
        <v>53</v>
      </c>
      <c r="U4" s="4" t="s">
        <v>53</v>
      </c>
      <c r="V4" s="4" t="s">
        <v>53</v>
      </c>
      <c r="W4" s="4" t="s">
        <v>53</v>
      </c>
      <c r="X4" s="4" t="s">
        <v>53</v>
      </c>
      <c r="Y4" s="4" t="s">
        <v>53</v>
      </c>
      <c r="Z4" s="3" t="s">
        <v>30</v>
      </c>
    </row>
    <row r="5" spans="1:26" x14ac:dyDescent="0.25">
      <c r="A5" s="1">
        <v>2</v>
      </c>
      <c r="B5" s="10">
        <v>44773</v>
      </c>
      <c r="C5" s="1">
        <v>768633</v>
      </c>
      <c r="D5" s="1">
        <v>9777638</v>
      </c>
      <c r="E5" s="2">
        <v>820</v>
      </c>
      <c r="F5" s="1" t="s">
        <v>33</v>
      </c>
      <c r="G5" s="3" t="s">
        <v>1</v>
      </c>
      <c r="H5" s="3">
        <v>7.6</v>
      </c>
      <c r="I5" s="3">
        <v>82</v>
      </c>
      <c r="J5" s="3">
        <v>28</v>
      </c>
      <c r="K5" s="3">
        <v>1080</v>
      </c>
      <c r="L5" s="3">
        <v>2200</v>
      </c>
      <c r="M5" s="3">
        <v>2</v>
      </c>
      <c r="N5" s="3" t="s">
        <v>27</v>
      </c>
      <c r="O5" s="3">
        <v>2</v>
      </c>
      <c r="P5" s="3" t="s">
        <v>24</v>
      </c>
      <c r="Q5" s="3">
        <v>1</v>
      </c>
      <c r="R5" s="3" t="s">
        <v>27</v>
      </c>
      <c r="S5" s="4" t="s">
        <v>53</v>
      </c>
      <c r="T5" s="4" t="s">
        <v>53</v>
      </c>
      <c r="U5" s="4" t="s">
        <v>53</v>
      </c>
      <c r="V5" s="4" t="s">
        <v>53</v>
      </c>
      <c r="W5" s="4" t="s">
        <v>53</v>
      </c>
      <c r="X5" s="4" t="s">
        <v>53</v>
      </c>
      <c r="Y5" s="4" t="s">
        <v>53</v>
      </c>
      <c r="Z5" s="3" t="s">
        <v>30</v>
      </c>
    </row>
    <row r="6" spans="1:26" x14ac:dyDescent="0.25">
      <c r="A6" s="1">
        <v>3</v>
      </c>
      <c r="B6" s="10">
        <v>44773</v>
      </c>
      <c r="C6" s="1">
        <v>770200</v>
      </c>
      <c r="D6" s="1">
        <v>9776037</v>
      </c>
      <c r="E6" s="2">
        <v>810</v>
      </c>
      <c r="F6" s="1" t="s">
        <v>7</v>
      </c>
      <c r="G6" s="3" t="s">
        <v>2</v>
      </c>
      <c r="H6" s="3" t="s">
        <v>50</v>
      </c>
      <c r="I6" s="3" t="s">
        <v>51</v>
      </c>
      <c r="J6" s="3" t="s">
        <v>52</v>
      </c>
      <c r="K6" s="3">
        <v>1270</v>
      </c>
      <c r="L6" s="3">
        <v>2320</v>
      </c>
      <c r="M6" s="3">
        <v>2</v>
      </c>
      <c r="N6" s="3" t="s">
        <v>27</v>
      </c>
      <c r="O6" s="3">
        <v>2</v>
      </c>
      <c r="P6" s="3" t="s">
        <v>24</v>
      </c>
      <c r="Q6" s="3">
        <v>1</v>
      </c>
      <c r="R6" s="3" t="s">
        <v>27</v>
      </c>
      <c r="S6" s="4" t="s">
        <v>53</v>
      </c>
      <c r="T6" s="4" t="s">
        <v>53</v>
      </c>
      <c r="U6" s="4" t="s">
        <v>53</v>
      </c>
      <c r="V6" s="4" t="s">
        <v>53</v>
      </c>
      <c r="W6" s="4" t="s">
        <v>53</v>
      </c>
      <c r="X6" s="4" t="s">
        <v>53</v>
      </c>
      <c r="Y6" s="4" t="s">
        <v>53</v>
      </c>
      <c r="Z6" s="3" t="s">
        <v>30</v>
      </c>
    </row>
    <row r="7" spans="1:26" x14ac:dyDescent="0.25">
      <c r="A7" s="1">
        <v>4</v>
      </c>
      <c r="B7" s="10">
        <v>44773</v>
      </c>
      <c r="C7" s="1">
        <v>769687</v>
      </c>
      <c r="D7" s="1">
        <v>9776361</v>
      </c>
      <c r="E7" s="2">
        <v>806</v>
      </c>
      <c r="F7" s="1" t="s">
        <v>7</v>
      </c>
      <c r="G7" s="3" t="s">
        <v>3</v>
      </c>
      <c r="H7" s="4" t="s">
        <v>31</v>
      </c>
      <c r="I7" s="3">
        <v>84.1</v>
      </c>
      <c r="J7" s="3">
        <v>25.8</v>
      </c>
      <c r="K7" s="3">
        <v>1220</v>
      </c>
      <c r="L7" s="3">
        <v>2470</v>
      </c>
      <c r="M7" s="3">
        <v>2</v>
      </c>
      <c r="N7" s="3" t="s">
        <v>27</v>
      </c>
      <c r="O7" s="3">
        <v>2</v>
      </c>
      <c r="P7" s="3" t="s">
        <v>24</v>
      </c>
      <c r="Q7" s="3">
        <v>1</v>
      </c>
      <c r="R7" s="3" t="s">
        <v>27</v>
      </c>
      <c r="S7" s="4" t="s">
        <v>53</v>
      </c>
      <c r="T7" s="4" t="s">
        <v>53</v>
      </c>
      <c r="U7" s="4" t="s">
        <v>53</v>
      </c>
      <c r="V7" s="4" t="s">
        <v>53</v>
      </c>
      <c r="W7" s="4" t="s">
        <v>53</v>
      </c>
      <c r="X7" s="4" t="s">
        <v>53</v>
      </c>
      <c r="Y7" s="4" t="s">
        <v>53</v>
      </c>
      <c r="Z7" s="3" t="s">
        <v>30</v>
      </c>
    </row>
    <row r="8" spans="1:26" x14ac:dyDescent="0.25">
      <c r="A8" s="1">
        <v>5</v>
      </c>
      <c r="B8" s="10">
        <v>44773</v>
      </c>
      <c r="C8" s="6">
        <v>762286</v>
      </c>
      <c r="D8" s="6">
        <v>9780061</v>
      </c>
      <c r="E8" s="6">
        <v>824</v>
      </c>
      <c r="F8" s="1" t="s">
        <v>29</v>
      </c>
      <c r="G8" s="3" t="s">
        <v>25</v>
      </c>
      <c r="H8" s="4">
        <v>7.22</v>
      </c>
      <c r="I8" s="3">
        <v>95.7</v>
      </c>
      <c r="J8" s="3">
        <v>33.700000000000003</v>
      </c>
      <c r="K8" s="3">
        <v>1480</v>
      </c>
      <c r="L8" s="3">
        <v>3010</v>
      </c>
      <c r="M8" s="3">
        <v>2</v>
      </c>
      <c r="N8" s="3" t="s">
        <v>28</v>
      </c>
      <c r="O8" s="3">
        <v>2</v>
      </c>
      <c r="P8" s="3" t="s">
        <v>26</v>
      </c>
      <c r="Q8" s="3">
        <v>1</v>
      </c>
      <c r="R8" s="3" t="s">
        <v>27</v>
      </c>
      <c r="S8" s="4" t="s">
        <v>53</v>
      </c>
      <c r="T8" s="4" t="s">
        <v>53</v>
      </c>
      <c r="U8" s="4" t="s">
        <v>53</v>
      </c>
      <c r="V8" s="4" t="s">
        <v>53</v>
      </c>
      <c r="W8" s="4" t="s">
        <v>53</v>
      </c>
      <c r="X8" s="4" t="s">
        <v>53</v>
      </c>
      <c r="Y8" s="4" t="s">
        <v>53</v>
      </c>
      <c r="Z8" s="3" t="s">
        <v>30</v>
      </c>
    </row>
    <row r="9" spans="1:26" x14ac:dyDescent="0.25">
      <c r="A9" s="1">
        <v>6</v>
      </c>
      <c r="B9" s="10">
        <v>44773</v>
      </c>
      <c r="C9" s="6">
        <v>762219</v>
      </c>
      <c r="D9" s="6">
        <v>9780062</v>
      </c>
      <c r="E9" s="6">
        <v>823</v>
      </c>
      <c r="F9" s="1" t="s">
        <v>29</v>
      </c>
      <c r="G9" s="3" t="s">
        <v>54</v>
      </c>
      <c r="H9" s="3">
        <v>7</v>
      </c>
      <c r="I9" s="3">
        <v>86.9</v>
      </c>
      <c r="J9" s="3">
        <v>33.700000000000003</v>
      </c>
      <c r="K9" s="3">
        <v>1460</v>
      </c>
      <c r="L9" s="3">
        <v>2940</v>
      </c>
      <c r="M9" s="3">
        <v>2</v>
      </c>
      <c r="N9" s="3" t="s">
        <v>28</v>
      </c>
      <c r="O9" s="3">
        <v>2</v>
      </c>
      <c r="P9" s="3" t="s">
        <v>26</v>
      </c>
      <c r="Q9" s="3">
        <v>1</v>
      </c>
      <c r="R9" s="3" t="s">
        <v>27</v>
      </c>
      <c r="S9" s="4" t="s">
        <v>53</v>
      </c>
      <c r="T9" s="4" t="s">
        <v>53</v>
      </c>
      <c r="U9" s="4" t="s">
        <v>53</v>
      </c>
      <c r="V9" s="4" t="s">
        <v>53</v>
      </c>
      <c r="W9" s="4" t="s">
        <v>53</v>
      </c>
      <c r="X9" s="4" t="s">
        <v>53</v>
      </c>
      <c r="Y9" s="4" t="s">
        <v>53</v>
      </c>
      <c r="Z9" s="3" t="s">
        <v>30</v>
      </c>
    </row>
    <row r="10" spans="1:26" x14ac:dyDescent="0.25">
      <c r="A10" s="1">
        <v>7</v>
      </c>
      <c r="B10" s="10">
        <v>44774</v>
      </c>
      <c r="C10" s="6">
        <v>762264</v>
      </c>
      <c r="D10" s="6">
        <v>9780060</v>
      </c>
      <c r="E10" s="6">
        <v>824</v>
      </c>
      <c r="F10" s="1" t="s">
        <v>29</v>
      </c>
      <c r="G10" s="3" t="s">
        <v>35</v>
      </c>
      <c r="H10" s="3" t="s">
        <v>89</v>
      </c>
      <c r="I10" s="3">
        <v>97</v>
      </c>
      <c r="J10" s="3" t="s">
        <v>46</v>
      </c>
      <c r="K10" s="3">
        <v>87</v>
      </c>
      <c r="L10" s="3">
        <v>168</v>
      </c>
      <c r="M10" s="4" t="s">
        <v>53</v>
      </c>
      <c r="N10" s="4" t="s">
        <v>53</v>
      </c>
      <c r="O10" s="4" t="s">
        <v>53</v>
      </c>
      <c r="P10" s="4" t="s">
        <v>53</v>
      </c>
      <c r="Q10" s="4" t="s">
        <v>53</v>
      </c>
      <c r="R10" s="4" t="s">
        <v>53</v>
      </c>
      <c r="S10" s="3">
        <v>2</v>
      </c>
      <c r="T10" s="3">
        <v>1</v>
      </c>
      <c r="U10" s="3" t="s">
        <v>41</v>
      </c>
      <c r="V10" s="3">
        <v>1</v>
      </c>
      <c r="W10" s="3" t="s">
        <v>42</v>
      </c>
      <c r="X10" s="3">
        <v>1</v>
      </c>
      <c r="Y10" s="3" t="s">
        <v>41</v>
      </c>
      <c r="Z10" s="3" t="s">
        <v>43</v>
      </c>
    </row>
    <row r="11" spans="1:26" x14ac:dyDescent="0.25">
      <c r="A11" s="1">
        <v>8</v>
      </c>
      <c r="B11" s="10">
        <v>44774</v>
      </c>
      <c r="C11" s="6">
        <v>761963</v>
      </c>
      <c r="D11" s="6">
        <v>9780292</v>
      </c>
      <c r="E11" s="6">
        <v>823</v>
      </c>
      <c r="F11" s="1" t="s">
        <v>29</v>
      </c>
      <c r="G11" s="3" t="s">
        <v>36</v>
      </c>
      <c r="H11" s="3" t="s">
        <v>44</v>
      </c>
      <c r="I11" s="3" t="s">
        <v>45</v>
      </c>
      <c r="J11" s="3" t="s">
        <v>46</v>
      </c>
      <c r="K11" s="3">
        <v>1420</v>
      </c>
      <c r="L11" s="3">
        <v>2910</v>
      </c>
      <c r="M11" s="3">
        <v>2</v>
      </c>
      <c r="N11" s="3" t="s">
        <v>28</v>
      </c>
      <c r="O11" s="3">
        <v>2</v>
      </c>
      <c r="P11" s="3" t="s">
        <v>26</v>
      </c>
      <c r="Q11" s="3">
        <v>1</v>
      </c>
      <c r="R11" s="3" t="s">
        <v>27</v>
      </c>
      <c r="S11" s="4" t="s">
        <v>53</v>
      </c>
      <c r="T11" s="4" t="s">
        <v>53</v>
      </c>
      <c r="U11" s="4" t="s">
        <v>53</v>
      </c>
      <c r="V11" s="4" t="s">
        <v>53</v>
      </c>
      <c r="W11" s="4" t="s">
        <v>53</v>
      </c>
      <c r="X11" s="4" t="s">
        <v>53</v>
      </c>
      <c r="Y11" s="4" t="s">
        <v>53</v>
      </c>
      <c r="Z11" s="3" t="s">
        <v>30</v>
      </c>
    </row>
    <row r="12" spans="1:26" x14ac:dyDescent="0.25">
      <c r="A12" s="1">
        <v>9</v>
      </c>
      <c r="B12" s="10">
        <v>44774</v>
      </c>
      <c r="C12" s="6">
        <v>761275</v>
      </c>
      <c r="D12" s="6">
        <v>9780192</v>
      </c>
      <c r="E12" s="6">
        <v>840</v>
      </c>
      <c r="F12" s="1" t="s">
        <v>29</v>
      </c>
      <c r="G12" s="3" t="s">
        <v>34</v>
      </c>
      <c r="H12" s="3" t="s">
        <v>47</v>
      </c>
      <c r="I12" s="3" t="s">
        <v>47</v>
      </c>
      <c r="J12" s="4" t="s">
        <v>53</v>
      </c>
      <c r="K12" s="3" t="s">
        <v>47</v>
      </c>
      <c r="L12" s="3" t="s">
        <v>47</v>
      </c>
      <c r="M12" s="3" t="s">
        <v>47</v>
      </c>
      <c r="N12" s="4" t="s">
        <v>53</v>
      </c>
      <c r="O12" s="3" t="s">
        <v>47</v>
      </c>
      <c r="P12" s="4" t="s">
        <v>53</v>
      </c>
      <c r="Q12" s="3" t="s">
        <v>47</v>
      </c>
      <c r="R12" s="4" t="s">
        <v>53</v>
      </c>
      <c r="S12" s="4" t="s">
        <v>53</v>
      </c>
      <c r="T12" s="4" t="s">
        <v>53</v>
      </c>
      <c r="U12" s="4" t="s">
        <v>53</v>
      </c>
      <c r="V12" s="4" t="s">
        <v>53</v>
      </c>
      <c r="W12" s="4" t="s">
        <v>53</v>
      </c>
      <c r="X12" s="4" t="s">
        <v>53</v>
      </c>
      <c r="Y12" s="4" t="s">
        <v>53</v>
      </c>
      <c r="Z12" s="3" t="s">
        <v>47</v>
      </c>
    </row>
    <row r="13" spans="1:26" x14ac:dyDescent="0.25">
      <c r="A13" s="1">
        <v>10</v>
      </c>
      <c r="B13" s="10">
        <v>44774</v>
      </c>
      <c r="C13" s="6">
        <v>761735</v>
      </c>
      <c r="D13" s="6">
        <v>9780922</v>
      </c>
      <c r="E13" s="6">
        <v>834</v>
      </c>
      <c r="F13" s="1" t="s">
        <v>29</v>
      </c>
      <c r="G13" s="3" t="s">
        <v>37</v>
      </c>
      <c r="H13" s="3" t="s">
        <v>48</v>
      </c>
      <c r="I13" s="3">
        <v>36</v>
      </c>
      <c r="J13" s="3" t="s">
        <v>49</v>
      </c>
      <c r="K13" s="3">
        <v>1570</v>
      </c>
      <c r="L13" s="3">
        <v>3140</v>
      </c>
      <c r="M13" s="3">
        <v>2</v>
      </c>
      <c r="N13" s="3" t="s">
        <v>28</v>
      </c>
      <c r="O13" s="3">
        <v>2</v>
      </c>
      <c r="P13" s="3" t="s">
        <v>26</v>
      </c>
      <c r="Q13" s="3">
        <v>1</v>
      </c>
      <c r="R13" s="3" t="s">
        <v>27</v>
      </c>
      <c r="S13" s="4" t="s">
        <v>53</v>
      </c>
      <c r="T13" s="4" t="s">
        <v>53</v>
      </c>
      <c r="U13" s="4" t="s">
        <v>53</v>
      </c>
      <c r="V13" s="4" t="s">
        <v>53</v>
      </c>
      <c r="W13" s="4" t="s">
        <v>53</v>
      </c>
      <c r="X13" s="4" t="s">
        <v>53</v>
      </c>
      <c r="Y13" s="4" t="s">
        <v>53</v>
      </c>
      <c r="Z13" s="3" t="s">
        <v>43</v>
      </c>
    </row>
    <row r="14" spans="1:26" x14ac:dyDescent="0.25">
      <c r="A14" s="1">
        <v>11</v>
      </c>
      <c r="B14" s="10">
        <v>44775</v>
      </c>
      <c r="C14" s="1">
        <v>771921</v>
      </c>
      <c r="D14" s="1">
        <v>9774474</v>
      </c>
      <c r="E14" s="1">
        <v>800</v>
      </c>
      <c r="F14" s="1" t="s">
        <v>58</v>
      </c>
      <c r="G14" s="3" t="s">
        <v>55</v>
      </c>
      <c r="H14" s="3" t="s">
        <v>61</v>
      </c>
      <c r="I14" s="3" t="s">
        <v>62</v>
      </c>
      <c r="J14" s="3" t="s">
        <v>63</v>
      </c>
      <c r="K14" s="3">
        <v>812</v>
      </c>
      <c r="L14" s="3">
        <v>1650</v>
      </c>
      <c r="M14" s="3">
        <v>2</v>
      </c>
      <c r="N14" s="3" t="s">
        <v>28</v>
      </c>
      <c r="O14" s="3">
        <v>2</v>
      </c>
      <c r="P14" s="3" t="s">
        <v>26</v>
      </c>
      <c r="Q14" s="3">
        <v>1</v>
      </c>
      <c r="R14" s="3" t="s">
        <v>27</v>
      </c>
      <c r="S14" s="4" t="s">
        <v>53</v>
      </c>
      <c r="T14" s="4" t="s">
        <v>53</v>
      </c>
      <c r="U14" s="4" t="s">
        <v>53</v>
      </c>
      <c r="V14" s="4" t="s">
        <v>53</v>
      </c>
      <c r="W14" s="4" t="s">
        <v>53</v>
      </c>
      <c r="X14" s="4" t="s">
        <v>53</v>
      </c>
      <c r="Y14" s="4" t="s">
        <v>53</v>
      </c>
      <c r="Z14" s="3" t="s">
        <v>43</v>
      </c>
    </row>
    <row r="15" spans="1:26" x14ac:dyDescent="0.25">
      <c r="A15" s="1">
        <v>12</v>
      </c>
      <c r="B15" s="10">
        <v>44775</v>
      </c>
      <c r="C15" s="1">
        <v>773692</v>
      </c>
      <c r="D15" s="1">
        <v>9780157</v>
      </c>
      <c r="E15" s="1">
        <v>996</v>
      </c>
      <c r="F15" s="1" t="s">
        <v>59</v>
      </c>
      <c r="G15" s="3" t="s">
        <v>56</v>
      </c>
      <c r="H15" s="3" t="s">
        <v>67</v>
      </c>
      <c r="I15" s="3" t="s">
        <v>64</v>
      </c>
      <c r="J15" s="3">
        <v>23</v>
      </c>
      <c r="K15" s="3">
        <v>1738</v>
      </c>
      <c r="L15" s="3">
        <v>3510</v>
      </c>
      <c r="M15" s="3">
        <v>2</v>
      </c>
      <c r="N15" s="3" t="s">
        <v>28</v>
      </c>
      <c r="O15" s="3">
        <v>2</v>
      </c>
      <c r="P15" s="3" t="s">
        <v>26</v>
      </c>
      <c r="Q15" s="3">
        <v>1</v>
      </c>
      <c r="R15" s="3" t="s">
        <v>27</v>
      </c>
      <c r="S15" s="4" t="s">
        <v>53</v>
      </c>
      <c r="T15" s="4" t="s">
        <v>53</v>
      </c>
      <c r="U15" s="4" t="s">
        <v>53</v>
      </c>
      <c r="V15" s="4" t="s">
        <v>53</v>
      </c>
      <c r="W15" s="4" t="s">
        <v>53</v>
      </c>
      <c r="X15" s="4" t="s">
        <v>53</v>
      </c>
      <c r="Y15" s="4" t="s">
        <v>53</v>
      </c>
      <c r="Z15" s="3" t="s">
        <v>43</v>
      </c>
    </row>
    <row r="16" spans="1:26" x14ac:dyDescent="0.25">
      <c r="A16" s="1">
        <v>13</v>
      </c>
      <c r="B16" s="10">
        <v>44775</v>
      </c>
      <c r="C16" s="1">
        <v>776260</v>
      </c>
      <c r="D16" s="1">
        <v>9772507</v>
      </c>
      <c r="E16" s="1">
        <v>852</v>
      </c>
      <c r="F16" s="1" t="s">
        <v>60</v>
      </c>
      <c r="G16" s="3" t="s">
        <v>57</v>
      </c>
      <c r="H16" s="3" t="s">
        <v>65</v>
      </c>
      <c r="I16" s="3">
        <v>23</v>
      </c>
      <c r="J16" s="3" t="s">
        <v>66</v>
      </c>
      <c r="K16" s="3">
        <v>84</v>
      </c>
      <c r="L16" s="3">
        <v>51</v>
      </c>
      <c r="M16" s="3">
        <v>1</v>
      </c>
      <c r="N16" s="3" t="s">
        <v>27</v>
      </c>
      <c r="O16" s="3">
        <v>1</v>
      </c>
      <c r="P16" s="3" t="s">
        <v>24</v>
      </c>
      <c r="Q16" s="3">
        <v>1</v>
      </c>
      <c r="R16" s="3" t="s">
        <v>27</v>
      </c>
      <c r="S16" s="4" t="s">
        <v>53</v>
      </c>
      <c r="T16" s="4" t="s">
        <v>53</v>
      </c>
      <c r="U16" s="4" t="s">
        <v>53</v>
      </c>
      <c r="V16" s="4" t="s">
        <v>53</v>
      </c>
      <c r="W16" s="4" t="s">
        <v>53</v>
      </c>
      <c r="X16" s="4" t="s">
        <v>53</v>
      </c>
      <c r="Y16" s="4" t="s">
        <v>53</v>
      </c>
      <c r="Z16" s="3" t="s">
        <v>43</v>
      </c>
    </row>
    <row r="17" spans="1:26" x14ac:dyDescent="0.25">
      <c r="A17" s="1">
        <v>14</v>
      </c>
      <c r="B17" s="10">
        <v>44776</v>
      </c>
      <c r="C17" s="1">
        <v>762743</v>
      </c>
      <c r="D17" s="1">
        <v>9779960</v>
      </c>
      <c r="E17" s="1">
        <v>811</v>
      </c>
      <c r="F17" s="1" t="s">
        <v>91</v>
      </c>
      <c r="G17" s="3" t="s">
        <v>68</v>
      </c>
      <c r="H17" s="3" t="s">
        <v>74</v>
      </c>
      <c r="I17" s="3">
        <v>53</v>
      </c>
      <c r="J17" s="3" t="s">
        <v>75</v>
      </c>
      <c r="K17" s="3">
        <v>780</v>
      </c>
      <c r="L17" s="3">
        <v>1670</v>
      </c>
      <c r="M17" s="3">
        <v>2</v>
      </c>
      <c r="N17" s="3" t="s">
        <v>28</v>
      </c>
      <c r="O17" s="3">
        <v>2</v>
      </c>
      <c r="P17" s="3" t="s">
        <v>26</v>
      </c>
      <c r="Q17" s="3">
        <v>1</v>
      </c>
      <c r="R17" s="3" t="s">
        <v>27</v>
      </c>
      <c r="S17" s="4" t="s">
        <v>53</v>
      </c>
      <c r="T17" s="4" t="s">
        <v>53</v>
      </c>
      <c r="U17" s="4" t="s">
        <v>53</v>
      </c>
      <c r="V17" s="4" t="s">
        <v>53</v>
      </c>
      <c r="W17" s="4" t="s">
        <v>53</v>
      </c>
      <c r="X17" s="4" t="s">
        <v>53</v>
      </c>
      <c r="Y17" s="4" t="s">
        <v>53</v>
      </c>
      <c r="Z17" s="3" t="s">
        <v>43</v>
      </c>
    </row>
    <row r="18" spans="1:26" x14ac:dyDescent="0.25">
      <c r="A18" s="1">
        <v>15</v>
      </c>
      <c r="B18" s="10">
        <v>44776</v>
      </c>
      <c r="C18" s="1">
        <v>763272</v>
      </c>
      <c r="D18" s="1">
        <v>9780660</v>
      </c>
      <c r="E18" s="11"/>
      <c r="F18" s="1" t="s">
        <v>90</v>
      </c>
      <c r="G18" s="3" t="s">
        <v>69</v>
      </c>
      <c r="H18" s="3" t="s">
        <v>76</v>
      </c>
      <c r="I18" s="3" t="s">
        <v>77</v>
      </c>
      <c r="J18" s="3" t="s">
        <v>78</v>
      </c>
      <c r="K18" s="3">
        <v>180</v>
      </c>
      <c r="L18" s="3">
        <v>260</v>
      </c>
      <c r="M18" s="3">
        <v>1</v>
      </c>
      <c r="N18" s="3" t="s">
        <v>27</v>
      </c>
      <c r="O18" s="3">
        <v>1</v>
      </c>
      <c r="P18" s="3" t="s">
        <v>24</v>
      </c>
      <c r="Q18" s="3">
        <v>1</v>
      </c>
      <c r="R18" s="3" t="s">
        <v>27</v>
      </c>
      <c r="S18" s="4" t="s">
        <v>53</v>
      </c>
      <c r="T18" s="4" t="s">
        <v>53</v>
      </c>
      <c r="U18" s="4" t="s">
        <v>53</v>
      </c>
      <c r="V18" s="4" t="s">
        <v>53</v>
      </c>
      <c r="W18" s="4" t="s">
        <v>53</v>
      </c>
      <c r="X18" s="4" t="s">
        <v>53</v>
      </c>
      <c r="Y18" s="4" t="s">
        <v>53</v>
      </c>
      <c r="Z18" s="3" t="s">
        <v>43</v>
      </c>
    </row>
    <row r="19" spans="1:26" x14ac:dyDescent="0.25">
      <c r="A19" s="1">
        <v>16</v>
      </c>
      <c r="B19" s="10">
        <v>44776</v>
      </c>
      <c r="C19" s="1">
        <v>760289</v>
      </c>
      <c r="D19" s="1">
        <v>9784022</v>
      </c>
      <c r="E19" s="1">
        <v>847</v>
      </c>
      <c r="F19" s="1" t="s">
        <v>6</v>
      </c>
      <c r="G19" s="3" t="s">
        <v>70</v>
      </c>
      <c r="H19" s="3" t="s">
        <v>79</v>
      </c>
      <c r="I19" s="3" t="s">
        <v>80</v>
      </c>
      <c r="J19" s="3">
        <v>22</v>
      </c>
      <c r="K19" s="3">
        <v>60</v>
      </c>
      <c r="L19" s="3">
        <v>121</v>
      </c>
      <c r="M19" s="3">
        <v>1</v>
      </c>
      <c r="N19" s="3" t="s">
        <v>27</v>
      </c>
      <c r="O19" s="3">
        <v>1</v>
      </c>
      <c r="P19" s="3" t="s">
        <v>24</v>
      </c>
      <c r="Q19" s="3">
        <v>1</v>
      </c>
      <c r="R19" s="3" t="s">
        <v>27</v>
      </c>
      <c r="S19" s="4" t="s">
        <v>53</v>
      </c>
      <c r="T19" s="4" t="s">
        <v>53</v>
      </c>
      <c r="U19" s="4" t="s">
        <v>53</v>
      </c>
      <c r="V19" s="4" t="s">
        <v>53</v>
      </c>
      <c r="W19" s="4" t="s">
        <v>53</v>
      </c>
      <c r="X19" s="4" t="s">
        <v>53</v>
      </c>
      <c r="Y19" s="4" t="s">
        <v>53</v>
      </c>
      <c r="Z19" s="3" t="s">
        <v>43</v>
      </c>
    </row>
    <row r="20" spans="1:26" x14ac:dyDescent="0.25">
      <c r="A20" s="1">
        <v>17</v>
      </c>
      <c r="B20" s="10">
        <v>44776</v>
      </c>
      <c r="C20" s="1">
        <v>760260</v>
      </c>
      <c r="D20" s="1">
        <v>9783997</v>
      </c>
      <c r="E20" s="1">
        <v>845</v>
      </c>
      <c r="F20" s="1" t="s">
        <v>6</v>
      </c>
      <c r="G20" s="3" t="s">
        <v>71</v>
      </c>
      <c r="H20" s="3" t="s">
        <v>81</v>
      </c>
      <c r="I20" s="3" t="s">
        <v>82</v>
      </c>
      <c r="J20" s="3" t="s">
        <v>83</v>
      </c>
      <c r="K20" s="3">
        <v>89</v>
      </c>
      <c r="L20" s="3">
        <v>178</v>
      </c>
      <c r="M20" s="3">
        <v>1</v>
      </c>
      <c r="N20" s="3" t="s">
        <v>27</v>
      </c>
      <c r="O20" s="3">
        <v>1</v>
      </c>
      <c r="P20" s="3" t="s">
        <v>24</v>
      </c>
      <c r="Q20" s="3">
        <v>1</v>
      </c>
      <c r="R20" s="3" t="s">
        <v>27</v>
      </c>
      <c r="S20" s="4" t="s">
        <v>53</v>
      </c>
      <c r="T20" s="4" t="s">
        <v>53</v>
      </c>
      <c r="U20" s="4" t="s">
        <v>53</v>
      </c>
      <c r="V20" s="4" t="s">
        <v>53</v>
      </c>
      <c r="W20" s="4" t="s">
        <v>53</v>
      </c>
      <c r="X20" s="4" t="s">
        <v>53</v>
      </c>
      <c r="Y20" s="4" t="s">
        <v>53</v>
      </c>
      <c r="Z20" s="3" t="s">
        <v>43</v>
      </c>
    </row>
    <row r="21" spans="1:26" x14ac:dyDescent="0.25">
      <c r="A21" s="1">
        <v>18</v>
      </c>
      <c r="B21" s="10">
        <v>44776</v>
      </c>
      <c r="C21" s="1">
        <v>761985</v>
      </c>
      <c r="D21" s="1">
        <v>9777500</v>
      </c>
      <c r="E21" s="1">
        <v>891</v>
      </c>
      <c r="F21" s="1" t="s">
        <v>92</v>
      </c>
      <c r="G21" s="3" t="s">
        <v>72</v>
      </c>
      <c r="H21" s="3" t="s">
        <v>84</v>
      </c>
      <c r="I21" s="3" t="s">
        <v>85</v>
      </c>
      <c r="J21" s="3" t="s">
        <v>86</v>
      </c>
      <c r="K21" s="3">
        <v>33</v>
      </c>
      <c r="L21" s="3">
        <v>66</v>
      </c>
      <c r="M21" s="3">
        <v>1</v>
      </c>
      <c r="N21" s="3" t="s">
        <v>27</v>
      </c>
      <c r="O21" s="3">
        <v>1</v>
      </c>
      <c r="P21" s="3" t="s">
        <v>24</v>
      </c>
      <c r="Q21" s="3">
        <v>1</v>
      </c>
      <c r="R21" s="3" t="s">
        <v>27</v>
      </c>
      <c r="S21" s="4" t="s">
        <v>53</v>
      </c>
      <c r="T21" s="4" t="s">
        <v>53</v>
      </c>
      <c r="U21" s="4" t="s">
        <v>53</v>
      </c>
      <c r="V21" s="4" t="s">
        <v>53</v>
      </c>
      <c r="W21" s="4" t="s">
        <v>53</v>
      </c>
      <c r="X21" s="4" t="s">
        <v>53</v>
      </c>
      <c r="Y21" s="4" t="s">
        <v>53</v>
      </c>
      <c r="Z21" s="3" t="s">
        <v>43</v>
      </c>
    </row>
    <row r="22" spans="1:26" x14ac:dyDescent="0.25">
      <c r="A22" s="1">
        <v>19</v>
      </c>
      <c r="B22" s="10">
        <v>44776</v>
      </c>
      <c r="C22" s="1">
        <v>764134</v>
      </c>
      <c r="D22" s="1">
        <v>9774516</v>
      </c>
      <c r="E22" s="11"/>
      <c r="F22" s="1" t="s">
        <v>92</v>
      </c>
      <c r="G22" s="3" t="s">
        <v>73</v>
      </c>
      <c r="H22" s="9" t="s">
        <v>87</v>
      </c>
      <c r="I22" s="3" t="s">
        <v>88</v>
      </c>
      <c r="J22" s="3">
        <v>27</v>
      </c>
      <c r="K22" s="3">
        <v>135</v>
      </c>
      <c r="L22" s="3">
        <v>269</v>
      </c>
      <c r="M22" s="3">
        <v>1</v>
      </c>
      <c r="N22" s="3" t="s">
        <v>27</v>
      </c>
      <c r="O22" s="3">
        <v>1</v>
      </c>
      <c r="P22" s="3" t="s">
        <v>24</v>
      </c>
      <c r="Q22" s="3">
        <v>1</v>
      </c>
      <c r="R22" s="3" t="s">
        <v>27</v>
      </c>
      <c r="S22" s="4" t="s">
        <v>53</v>
      </c>
      <c r="T22" s="4" t="s">
        <v>53</v>
      </c>
      <c r="U22" s="4" t="s">
        <v>53</v>
      </c>
      <c r="V22" s="4" t="s">
        <v>53</v>
      </c>
      <c r="W22" s="4" t="s">
        <v>53</v>
      </c>
      <c r="X22" s="4" t="s">
        <v>53</v>
      </c>
      <c r="Y22" s="4" t="s">
        <v>53</v>
      </c>
      <c r="Z22" s="3" t="s">
        <v>43</v>
      </c>
    </row>
    <row r="24" spans="1:26" x14ac:dyDescent="0.25">
      <c r="G24"/>
    </row>
    <row r="25" spans="1:26" x14ac:dyDescent="0.25">
      <c r="G25"/>
    </row>
    <row r="26" spans="1:26" x14ac:dyDescent="0.25">
      <c r="F26" s="7"/>
      <c r="G26"/>
    </row>
  </sheetData>
  <mergeCells count="25">
    <mergeCell ref="G1:G3"/>
    <mergeCell ref="F1:F3"/>
    <mergeCell ref="E1:E3"/>
    <mergeCell ref="D1:D3"/>
    <mergeCell ref="T2:T3"/>
    <mergeCell ref="S2:S3"/>
    <mergeCell ref="S1:Y1"/>
    <mergeCell ref="Y2:Y3"/>
    <mergeCell ref="H1:L1"/>
    <mergeCell ref="Z1:Z3"/>
    <mergeCell ref="C1:C3"/>
    <mergeCell ref="B1:B3"/>
    <mergeCell ref="A1:A3"/>
    <mergeCell ref="N2:N3"/>
    <mergeCell ref="R2:R3"/>
    <mergeCell ref="P2:P3"/>
    <mergeCell ref="H2:H3"/>
    <mergeCell ref="M2:M3"/>
    <mergeCell ref="O2:O3"/>
    <mergeCell ref="Q2:Q3"/>
    <mergeCell ref="M1:R1"/>
    <mergeCell ref="U2:U3"/>
    <mergeCell ref="V2:V3"/>
    <mergeCell ref="W2:W3"/>
    <mergeCell ref="X2:X3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F9A-CE6E-4EB2-8B33-E50295B49A01}">
  <dimension ref="A1:F12"/>
  <sheetViews>
    <sheetView workbookViewId="0">
      <selection activeCell="D12" sqref="D12"/>
    </sheetView>
  </sheetViews>
  <sheetFormatPr defaultRowHeight="15" x14ac:dyDescent="0.25"/>
  <sheetData>
    <row r="1" spans="1:6" x14ac:dyDescent="0.25">
      <c r="B1" t="s">
        <v>95</v>
      </c>
      <c r="C1" t="s">
        <v>96</v>
      </c>
      <c r="D1" t="s">
        <v>97</v>
      </c>
    </row>
    <row r="2" spans="1:6" x14ac:dyDescent="0.25">
      <c r="A2" t="s">
        <v>98</v>
      </c>
      <c r="B2">
        <f>(0.2+0.3)/2</f>
        <v>0.25</v>
      </c>
      <c r="C2">
        <f>((1/2*(15+13))*2.5)*0.0001</f>
        <v>3.5000000000000001E-3</v>
      </c>
      <c r="D2">
        <f>B2*C2</f>
        <v>8.7500000000000002E-4</v>
      </c>
      <c r="E2" t="s">
        <v>99</v>
      </c>
    </row>
    <row r="3" spans="1:6" x14ac:dyDescent="0.25">
      <c r="A3" t="s">
        <v>100</v>
      </c>
      <c r="B3">
        <f>(0.4+0.3)/2</f>
        <v>0.35</v>
      </c>
      <c r="C3">
        <f>((1/3*(3.14*(2.4)*2.4)))*0.0001</f>
        <v>6.0287999999999987E-4</v>
      </c>
      <c r="D3">
        <f>B3*C3</f>
        <v>2.1100799999999994E-4</v>
      </c>
      <c r="E3" t="s">
        <v>99</v>
      </c>
    </row>
    <row r="4" spans="1:6" x14ac:dyDescent="0.25">
      <c r="A4" t="s">
        <v>101</v>
      </c>
      <c r="B4">
        <v>0.3</v>
      </c>
      <c r="C4">
        <f>((1/2*(12+10))*4.5)*0.0001</f>
        <v>4.9500000000000004E-3</v>
      </c>
      <c r="D4">
        <f>B4*C4</f>
        <v>1.485E-3</v>
      </c>
      <c r="E4" t="s">
        <v>99</v>
      </c>
    </row>
    <row r="5" spans="1:6" x14ac:dyDescent="0.25">
      <c r="A5" t="s">
        <v>101</v>
      </c>
      <c r="D5">
        <v>1.485E-3</v>
      </c>
      <c r="E5" t="s">
        <v>99</v>
      </c>
      <c r="F5" t="s">
        <v>102</v>
      </c>
    </row>
    <row r="7" spans="1:6" x14ac:dyDescent="0.25">
      <c r="A7" t="s">
        <v>103</v>
      </c>
      <c r="D7">
        <f>SUM(D2:D5)</f>
        <v>4.0560079999999998E-3</v>
      </c>
      <c r="E7" t="s">
        <v>99</v>
      </c>
    </row>
    <row r="9" spans="1:6" x14ac:dyDescent="0.25">
      <c r="A9" t="s">
        <v>2</v>
      </c>
      <c r="B9">
        <v>0.1</v>
      </c>
      <c r="C9">
        <f>((1/2*(20+18))*2)*0.0001</f>
        <v>3.8E-3</v>
      </c>
      <c r="D9">
        <f>B9*C9</f>
        <v>3.8000000000000002E-4</v>
      </c>
      <c r="E9" t="s">
        <v>99</v>
      </c>
    </row>
    <row r="10" spans="1:6" x14ac:dyDescent="0.25">
      <c r="A10" t="s">
        <v>104</v>
      </c>
      <c r="B10">
        <f>0.15</f>
        <v>0.15</v>
      </c>
      <c r="C10">
        <f>((1/2*(90+60))*10)*0.0001</f>
        <v>7.4999999999999997E-2</v>
      </c>
      <c r="D10">
        <f>B10*C10</f>
        <v>1.125E-2</v>
      </c>
      <c r="E10" t="s">
        <v>99</v>
      </c>
    </row>
    <row r="11" spans="1:6" x14ac:dyDescent="0.25">
      <c r="A11" t="s">
        <v>105</v>
      </c>
      <c r="B11">
        <v>0.1</v>
      </c>
      <c r="C11">
        <f>((1/2*(25+17))*8)*0.0001</f>
        <v>1.6800000000000002E-2</v>
      </c>
      <c r="D11">
        <f>B11*C11</f>
        <v>1.6800000000000003E-3</v>
      </c>
      <c r="E11" t="s">
        <v>99</v>
      </c>
    </row>
    <row r="12" spans="1:6" x14ac:dyDescent="0.25">
      <c r="A12" t="s">
        <v>106</v>
      </c>
      <c r="D12">
        <f>D10-D11</f>
        <v>9.5699999999999986E-3</v>
      </c>
      <c r="E1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Semurup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Ristio</dc:creator>
  <cp:lastModifiedBy>Fadhilaz Haq</cp:lastModifiedBy>
  <dcterms:created xsi:type="dcterms:W3CDTF">2022-07-31T11:18:37Z</dcterms:created>
  <dcterms:modified xsi:type="dcterms:W3CDTF">2025-08-02T06:07:27Z</dcterms:modified>
</cp:coreProperties>
</file>